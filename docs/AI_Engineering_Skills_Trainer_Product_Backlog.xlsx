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RICE Scoring" sheetId="2" state="visible" r:id="rId4"/>
    <sheet name="MVP Stories (Reference)" sheetId="3" state="visible" r:id="rId5"/>
  </sheets>
  <definedNames>
    <definedName function="false" hidden="true" localSheetId="0" name="_xlnm._FilterDatabase" vbProcedure="false">'Product Backlog'!$A$1:$K$16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<sst xmlns="http://schemas.openxmlformats.org/spreadsheetml/2006/main" count="230" uniqueCount="125">
  <si>
    <t xml:space="preserve">ID</t>
  </si>
  <si>
    <t xml:space="preserve">Title</t>
  </si>
  <si>
    <t xml:space="preserve">Type</t>
  </si>
  <si>
    <t xml:space="preserve">Priority</t>
  </si>
  <si>
    <t xml:space="preserve">MoSCoW</t>
  </si>
  <si>
    <t xml:space="preserve">Source</t>
  </si>
  <si>
    <t xml:space="preserve">Effort Estimate</t>
  </si>
  <si>
    <t xml:space="preserve">RICE Score</t>
  </si>
  <si>
    <t xml:space="preserve">User Story</t>
  </si>
  <si>
    <t xml:space="preserve">Description</t>
  </si>
  <si>
    <t xml:space="preserve">Acceptance Criteria</t>
  </si>
  <si>
    <t xml:space="preserve">BL-001</t>
  </si>
  <si>
    <t xml:space="preserve">Rich Session Dashboard</t>
  </si>
  <si>
    <t xml:space="preserve">Feature</t>
  </si>
  <si>
    <t xml:space="preserve">High</t>
  </si>
  <si>
    <t xml:space="preserve">Should Have</t>
  </si>
  <si>
    <t xml:space="preserve">PRD Deferred</t>
  </si>
  <si>
    <t xml:space="preserve">Medium (3-5 days)</t>
  </si>
  <si>
    <t xml:space="preserve">As a user, I want a detailed session dashboard with quiz attempt counts, last activity date, and completion status so that I can better track my progress within each session.</t>
  </si>
  <si>
    <t xml:space="preserve">Enhance the basic session view with richer metadata: quiz attempt count per session, last activity timestamp, visual completion indicators, and summary statistics per session.</t>
  </si>
  <si>
    <t xml:space="preserve">Session dashboard shows: number of quiz attempts, last activity date, score distribution across attempts, difficulty levels attempted. Visual indicators for session activity level.</t>
  </si>
  <si>
    <t xml:space="preserve">BL-002</t>
  </si>
  <si>
    <t xml:space="preserve">Progressive Difficulty Prompts</t>
  </si>
  <si>
    <t xml:space="preserve">Small (1-2 days)</t>
  </si>
  <si>
    <t xml:space="preserve">As a user, I want the system to suggest trying harder difficulty levels when I perform well so that I naturally progress in my skills.</t>
  </si>
  <si>
    <t xml:space="preserve">After completing a quiz with a high score (e.g., &gt;80%), prompt the user to try the same topic at a harder difficulty. Provide a one-click option to generate a new quiz at the next difficulty level.</t>
  </si>
  <si>
    <t xml:space="preserve">If score &gt;80%, show suggestion to try next difficulty. One-click generation at higher difficulty. Suggestion is dismissible. Does not appear if already at Hard.</t>
  </si>
  <si>
    <t xml:space="preserve">BL-003</t>
  </si>
  <si>
    <t xml:space="preserve">Interview Simulation Session</t>
  </si>
  <si>
    <t xml:space="preserve">Very Large (weeks+)</t>
  </si>
  <si>
    <t xml:space="preserve">As a user, I want to start an interview prep session based on current real-world interview questions and trends for my target role, so that I can practice with questions similar to what companies are actually asking.</t>
  </si>
  <si>
    <t xml:space="preserve">New session type that generates exercises based on researched real-world interview questions rather than uploaded materials. Requires web research pipeline, interview question curation, company/role-specific targeting.</t>
  </si>
  <si>
    <t xml:space="preserve">User can create an 'Interview Simulation' session by specifying target role and companies. System generates questions based on current interview trends. Questions reflect AI-era interview formats. Source attribution for question inspiration.</t>
  </si>
  <si>
    <t xml:space="preserve">BL-004</t>
  </si>
  <si>
    <t xml:space="preserve">Google Login / OAuth</t>
  </si>
  <si>
    <t xml:space="preserve">Medium</t>
  </si>
  <si>
    <t xml:space="preserve">As a user, I want to sign up and log in with my Google account so that I can access the product without creating a separate account.</t>
  </si>
  <si>
    <t xml:space="preserve">Implement Google OAuth 2.0 for signup and login. Link Google accounts to existing email accounts if the email matches. Maintain email/password as an alternative.</t>
  </si>
  <si>
    <t xml:space="preserve">Google sign-in button on login/signup page. New users auto-create account from Google profile. Existing users with matching email can link accounts. Email verification bypassed for Google-verified emails.</t>
  </si>
  <si>
    <t xml:space="preserve">BL-005</t>
  </si>
  <si>
    <t xml:space="preserve">Analytics &amp; Weak Area Detection</t>
  </si>
  <si>
    <t xml:space="preserve">Could Have</t>
  </si>
  <si>
    <t xml:space="preserve">Large (1-2 weeks)</t>
  </si>
  <si>
    <t xml:space="preserve">As a user, I want to see my performance trends and which areas I'm weakest in so that I can focus my study time effectively.</t>
  </si>
  <si>
    <t xml:space="preserve">Track performance across quizzes by topic/skill area. Categorize questions by skill (e.g., time complexity, system design, bug finding). Visualize trends over time. Identify weakest areas and recommend focus topics.</t>
  </si>
  <si>
    <t xml:space="preserve">Dashboard shows: performance over time (chart), breakdown by skill category, weakest 3 areas highlighted, recommended next actions. Data based on all quiz attempts across all sessions.</t>
  </si>
  <si>
    <t xml:space="preserve">BL-006</t>
  </si>
  <si>
    <t xml:space="preserve">Quiz Sharing / Export</t>
  </si>
  <si>
    <t xml:space="preserve">Low</t>
  </si>
  <si>
    <t xml:space="preserve">Business Strategy</t>
  </si>
  <si>
    <t xml:space="preserve">As a user, I want to share my quiz results with peers or export them as a PDF so that I can discuss my progress or use them for study groups.</t>
  </si>
  <si>
    <t xml:space="preserve">Allow users to generate a shareable link for quiz results (read-only view) or export results as a PDF document.</t>
  </si>
  <si>
    <t xml:space="preserve">Share button on quiz results page. Generates public read-only link. PDF export includes questions, user answers, correct answers, and feedback. Shared links do not require login to view.</t>
  </si>
  <si>
    <t xml:space="preserve">BL-007</t>
  </si>
  <si>
    <t xml:space="preserve">Bookmark / Flag Questions</t>
  </si>
  <si>
    <t xml:space="preserve">As a user, I want to bookmark or flag questions I found difficult so that I can review them later and focus on my weak points.</t>
  </si>
  <si>
    <t xml:space="preserve">Add a flag/bookmark toggle on each question during quiz-taking and on the results page. Create a 'Flagged Questions' view accessible from the session dashboard.</t>
  </si>
  <si>
    <t xml:space="preserve">Flag icon on each question (during quiz and on results). Flagged questions viewable from session dashboard. User can unflag questions. Flagged questions list shows question, correct answer, and feedback.</t>
  </si>
  <si>
    <t xml:space="preserve">BL-008</t>
  </si>
  <si>
    <t xml:space="preserve">Custom LLM Prompt Spec Editor</t>
  </si>
  <si>
    <t xml:space="preserve">As an advanced user, I want to customize the types of questions generated (e.g., more system design, fewer bug-finding) so that I can focus my practice on specific skill areas.</t>
  </si>
  <si>
    <t xml:space="preserve">Allow users to adjust the question type distribution within a session. For example, slider controls for: % bug finding, % code evaluation, % system design, % algorithm selection.</t>
  </si>
  <si>
    <t xml:space="preserve">Configuration panel accessible before quiz generation. Sliders or checkboxes for question type distribution. Percentages must sum to 100%. Saved as session-level preference.</t>
  </si>
  <si>
    <t xml:space="preserve">BL-009</t>
  </si>
  <si>
    <t xml:space="preserve">Video Explanation Generation</t>
  </si>
  <si>
    <t xml:space="preserve">Nice to have</t>
  </si>
  <si>
    <t xml:space="preserve">Won't Have Yet</t>
  </si>
  <si>
    <t xml:space="preserve">As a user, I want to generate a short explanatory video summarizing my uploaded material so that I can understand the content visually before practicing.</t>
  </si>
  <si>
    <t xml:space="preserve">Generate short (2-5 min) explainer videos from uploaded text content using AI video generation. Videos include visuals, simplified explanations, and examples. Requires video generation pipeline, significant infrastructure.</t>
  </si>
  <si>
    <t xml:space="preserve">User can request video from uploaded materials. Video generated within 5 minutes. Video includes visual aids and simplified explanations. Video playable in-app. Deferred until user research validates demand.</t>
  </si>
  <si>
    <t xml:space="preserve">BL-010</t>
  </si>
  <si>
    <t xml:space="preserve">B2B API &amp; Bootcamp Integration</t>
  </si>
  <si>
    <t xml:space="preserve">As a bootcamp program director, I want to integrate the skills trainer into our curriculum so that students get structured AI-era interview preparation as part of their program.</t>
  </si>
  <si>
    <t xml:space="preserve">API layer allowing bootcamps to integrate quiz generation and results into their LMS. Admin dashboard for instructors. Cohort management. Bulk user provisioning. Usage analytics per cohort.</t>
  </si>
  <si>
    <t xml:space="preserve">REST API for quiz generation and results retrieval. Admin dashboard with cohort overview. Instructor can assign sessions to students. Bulk invite via email. API documentation provided.</t>
  </si>
  <si>
    <t xml:space="preserve">BL-011</t>
  </si>
  <si>
    <t xml:space="preserve">Mobile Native App</t>
  </si>
  <si>
    <t xml:space="preserve">As a user, I want to practice on my phone so that I can study during commutes or downtime.</t>
  </si>
  <si>
    <t xml:space="preserve">Native iOS and Android application with full feature parity to the web app. Push notifications for study reminders. Offline mode for reviewing past results.</t>
  </si>
  <si>
    <t xml:space="preserve">Available on iOS and Android. Feature parity with web app. Push notifications for study reminders. Offline access to past quiz results. Responsive and performant on mobile devices.</t>
  </si>
  <si>
    <t xml:space="preserve">BL-012</t>
  </si>
  <si>
    <t xml:space="preserve">Payment &amp; Subscription System</t>
  </si>
  <si>
    <t xml:space="preserve">As a product owner, I want to implement a freemium model with subscription tiers so that the product can generate revenue.</t>
  </si>
  <si>
    <t xml:space="preserve">Implement Stripe or similar payment processing. Define free tier limits (e.g., 3 sessions, 5 quizzes/month) and paid tier features. Subscription management, billing, and invoicing.</t>
  </si>
  <si>
    <t xml:space="preserve">Free tier with defined limits. Paid tier with expanded access. Stripe integration for payment. Subscription management page. Upgrade/downgrade flow. Invoice generation.</t>
  </si>
  <si>
    <t xml:space="preserve">BL-013</t>
  </si>
  <si>
    <t xml:space="preserve">LLM Prompt Spec Optimization</t>
  </si>
  <si>
    <t xml:space="preserve">Improvement</t>
  </si>
  <si>
    <t xml:space="preserve">Critical</t>
  </si>
  <si>
    <t xml:space="preserve">Risk Mitigation</t>
  </si>
  <si>
    <t xml:space="preserve">N/A - Technical task</t>
  </si>
  <si>
    <t xml:space="preserve">Iteratively refine the LLM prompt specification for question generation and free-text grading. Test across 50+ questions at each difficulty level. Validate question quality and grading accuracy with 3-5 real users. Document the final spec.</t>
  </si>
  <si>
    <t xml:space="preserve">50+ test questions generated at each difficulty level reviewed for quality. Grading tested with 10+ sample free-text answers at varying quality. Question quality rated 4+/5 by test users. Grading accuracy validated as fair by test users. Final prompt spec documented.</t>
  </si>
  <si>
    <t xml:space="preserve">BL-014</t>
  </si>
  <si>
    <t xml:space="preserve">User Research - Post-Launch Validation</t>
  </si>
  <si>
    <t xml:space="preserve">N/A - Research task</t>
  </si>
  <si>
    <t xml:space="preserve">Conduct structured interviews with 10-15 bootcamp graduates using the interview guide from the PRD. Validate core assumptions: (1) interview failure tied to evaluation/architecture skills, (2) users engage repeatedly, (3) willingness to pay.</t>
  </si>
  <si>
    <t xml:space="preserve">10-15 interviews completed. Findings documented. Problem hypothesis confirmed or revised. Product adjustments identified if needed.</t>
  </si>
  <si>
    <t xml:space="preserve">BL-015</t>
  </si>
  <si>
    <t xml:space="preserve">Collaborative Study Sessions</t>
  </si>
  <si>
    <t xml:space="preserve">As a user, I want to create study sessions with friends so that we can practice together and discuss our approaches.</t>
  </si>
  <si>
    <t xml:space="preserve">Shared sessions where multiple users can take the same quiz and compare results. Discussion threads per question. Leaderboard within the group.</t>
  </si>
  <si>
    <t xml:space="preserve">Invite peers to a session via email or link. All members take the same generated quiz. Comparative results view. Per-question discussion thread. Group leaderboard.</t>
  </si>
  <si>
    <t xml:space="preserve">Reach (users/month)</t>
  </si>
  <si>
    <t xml:space="preserve">Impact (0.25-3)</t>
  </si>
  <si>
    <t xml:space="preserve">Confidence (%)</t>
  </si>
  <si>
    <t xml:space="preserve">Effort (person-weeks)</t>
  </si>
  <si>
    <t xml:space="preserve">Story #</t>
  </si>
  <si>
    <t xml:space="preserve">Status</t>
  </si>
  <si>
    <t xml:space="preserve">1</t>
  </si>
  <si>
    <t xml:space="preserve">Account Creation (email/password, verification)</t>
  </si>
  <si>
    <t xml:space="preserve">MVP</t>
  </si>
  <si>
    <t xml:space="preserve">Must Have</t>
  </si>
  <si>
    <t xml:space="preserve">2</t>
  </si>
  <si>
    <t xml:space="preserve">Create Learning Session (with Home Dashboard &amp; session list)</t>
  </si>
  <si>
    <t xml:space="preserve">3</t>
  </si>
  <si>
    <t xml:space="preserve">Upload Study Materials (optional, PDF/DOCX/TXT/URL)</t>
  </si>
  <si>
    <t xml:space="preserve">4</t>
  </si>
  <si>
    <t xml:space="preserve">Configure Quiz Preferences (format, difficulty, count)</t>
  </si>
  <si>
    <t xml:space="preserve">5</t>
  </si>
  <si>
    <t xml:space="preserve">Generate Critical Evaluation Exercises</t>
  </si>
  <si>
    <t xml:space="preserve">6</t>
  </si>
  <si>
    <t xml:space="preserve">Take Exercises (scrollable list with navigation panel)</t>
  </si>
  <si>
    <t xml:space="preserve">7</t>
  </si>
  <si>
    <t xml:space="preserve">Submit and Review Results with Explanations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</si>
</sst>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2C3E5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EAFAF1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FADBD8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4F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50"/>
    <col collapsed="false" customWidth="true" hidden="false" outlineLevel="0" max="11" min="11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3" t="s">
        <v>12</v>
      </c>
      <c r="C2" s="2" t="s">
        <v>13</v>
      </c>
      <c r="D2" s="4" t="s">
        <v>14</v>
      </c>
      <c r="E2" s="2" t="s">
        <v>15</v>
      </c>
      <c r="F2" s="3" t="s">
        <v>16</v>
      </c>
      <c r="G2" s="2" t="s">
        <v>17</v>
      </c>
      <c r="H2" s="2" t="n">
        <v>126</v>
      </c>
      <c r="I2" s="3" t="s">
        <v>18</v>
      </c>
      <c r="J2" s="3" t="s">
        <v>19</v>
      </c>
      <c r="K2" s="3" t="s">
        <v>20</v>
      </c>
    </row>
    <row r="3" customFormat="false" ht="46.25" hidden="false" customHeight="false" outlineLevel="0" collapsed="false">
      <c r="A3" s="2" t="s">
        <v>21</v>
      </c>
      <c r="B3" s="3" t="s">
        <v>22</v>
      </c>
      <c r="C3" s="2" t="s">
        <v>13</v>
      </c>
      <c r="D3" s="4" t="s">
        <v>14</v>
      </c>
      <c r="E3" s="2" t="s">
        <v>15</v>
      </c>
      <c r="F3" s="3" t="s">
        <v>16</v>
      </c>
      <c r="G3" s="2" t="s">
        <v>23</v>
      </c>
      <c r="H3" s="2" t="n">
        <v>108</v>
      </c>
      <c r="I3" s="3" t="s">
        <v>24</v>
      </c>
      <c r="J3" s="3" t="s">
        <v>25</v>
      </c>
      <c r="K3" s="3" t="s">
        <v>26</v>
      </c>
    </row>
    <row r="4" customFormat="false" ht="46.25" hidden="false" customHeight="false" outlineLevel="0" collapsed="false">
      <c r="A4" s="2" t="s">
        <v>27</v>
      </c>
      <c r="B4" s="3" t="s">
        <v>28</v>
      </c>
      <c r="C4" s="2" t="s">
        <v>13</v>
      </c>
      <c r="D4" s="4" t="s">
        <v>14</v>
      </c>
      <c r="E4" s="2" t="s">
        <v>15</v>
      </c>
      <c r="F4" s="3" t="s">
        <v>16</v>
      </c>
      <c r="G4" s="2" t="s">
        <v>29</v>
      </c>
      <c r="H4" s="2" t="n">
        <v>72</v>
      </c>
      <c r="I4" s="3" t="s">
        <v>30</v>
      </c>
      <c r="J4" s="3" t="s">
        <v>31</v>
      </c>
      <c r="K4" s="3" t="s">
        <v>32</v>
      </c>
    </row>
    <row r="5" customFormat="false" ht="46.25" hidden="false" customHeight="false" outlineLevel="0" collapsed="false">
      <c r="A5" s="2" t="s">
        <v>33</v>
      </c>
      <c r="B5" s="3" t="s">
        <v>34</v>
      </c>
      <c r="C5" s="2" t="s">
        <v>13</v>
      </c>
      <c r="D5" s="5" t="s">
        <v>35</v>
      </c>
      <c r="E5" s="2" t="s">
        <v>15</v>
      </c>
      <c r="F5" s="3" t="s">
        <v>16</v>
      </c>
      <c r="G5" s="2" t="s">
        <v>17</v>
      </c>
      <c r="H5" s="2" t="n">
        <v>90</v>
      </c>
      <c r="I5" s="3" t="s">
        <v>36</v>
      </c>
      <c r="J5" s="3" t="s">
        <v>37</v>
      </c>
      <c r="K5" s="3" t="s">
        <v>38</v>
      </c>
    </row>
    <row r="6" customFormat="false" ht="46.25" hidden="false" customHeight="false" outlineLevel="0" collapsed="false">
      <c r="A6" s="2" t="s">
        <v>39</v>
      </c>
      <c r="B6" s="3" t="s">
        <v>40</v>
      </c>
      <c r="C6" s="2" t="s">
        <v>13</v>
      </c>
      <c r="D6" s="5" t="s">
        <v>35</v>
      </c>
      <c r="E6" s="2" t="s">
        <v>41</v>
      </c>
      <c r="F6" s="3" t="s">
        <v>16</v>
      </c>
      <c r="G6" s="2" t="s">
        <v>42</v>
      </c>
      <c r="H6" s="2" t="n">
        <v>48</v>
      </c>
      <c r="I6" s="3" t="s">
        <v>43</v>
      </c>
      <c r="J6" s="3" t="s">
        <v>44</v>
      </c>
      <c r="K6" s="3" t="s">
        <v>45</v>
      </c>
    </row>
    <row r="7" customFormat="false" ht="35.05" hidden="false" customHeight="false" outlineLevel="0" collapsed="false">
      <c r="A7" s="2" t="s">
        <v>46</v>
      </c>
      <c r="B7" s="3" t="s">
        <v>47</v>
      </c>
      <c r="C7" s="2" t="s">
        <v>13</v>
      </c>
      <c r="D7" s="6" t="s">
        <v>48</v>
      </c>
      <c r="E7" s="2" t="s">
        <v>41</v>
      </c>
      <c r="F7" s="3" t="s">
        <v>49</v>
      </c>
      <c r="G7" s="2" t="s">
        <v>23</v>
      </c>
      <c r="H7" s="2" t="n">
        <v>30</v>
      </c>
      <c r="I7" s="3" t="s">
        <v>50</v>
      </c>
      <c r="J7" s="3" t="s">
        <v>51</v>
      </c>
      <c r="K7" s="3" t="s">
        <v>52</v>
      </c>
    </row>
    <row r="8" customFormat="false" ht="46.25" hidden="false" customHeight="false" outlineLevel="0" collapsed="false">
      <c r="A8" s="2" t="s">
        <v>53</v>
      </c>
      <c r="B8" s="3" t="s">
        <v>54</v>
      </c>
      <c r="C8" s="2" t="s">
        <v>13</v>
      </c>
      <c r="D8" s="6" t="s">
        <v>48</v>
      </c>
      <c r="E8" s="2" t="s">
        <v>41</v>
      </c>
      <c r="F8" s="3" t="s">
        <v>49</v>
      </c>
      <c r="G8" s="2" t="s">
        <v>23</v>
      </c>
      <c r="H8" s="2" t="n">
        <v>36</v>
      </c>
      <c r="I8" s="3" t="s">
        <v>55</v>
      </c>
      <c r="J8" s="3" t="s">
        <v>56</v>
      </c>
      <c r="K8" s="3" t="s">
        <v>57</v>
      </c>
    </row>
    <row r="9" customFormat="false" ht="35.05" hidden="false" customHeight="false" outlineLevel="0" collapsed="false">
      <c r="A9" s="2" t="s">
        <v>58</v>
      </c>
      <c r="B9" s="3" t="s">
        <v>59</v>
      </c>
      <c r="C9" s="2" t="s">
        <v>13</v>
      </c>
      <c r="D9" s="6" t="s">
        <v>48</v>
      </c>
      <c r="E9" s="2" t="s">
        <v>41</v>
      </c>
      <c r="F9" s="3" t="s">
        <v>49</v>
      </c>
      <c r="G9" s="2" t="s">
        <v>17</v>
      </c>
      <c r="H9" s="2" t="n">
        <v>20</v>
      </c>
      <c r="I9" s="3" t="s">
        <v>60</v>
      </c>
      <c r="J9" s="3" t="s">
        <v>61</v>
      </c>
      <c r="K9" s="3" t="s">
        <v>62</v>
      </c>
    </row>
    <row r="10" customFormat="false" ht="46.25" hidden="false" customHeight="false" outlineLevel="0" collapsed="false">
      <c r="A10" s="2" t="s">
        <v>63</v>
      </c>
      <c r="B10" s="3" t="s">
        <v>64</v>
      </c>
      <c r="C10" s="2" t="s">
        <v>13</v>
      </c>
      <c r="D10" s="7" t="s">
        <v>65</v>
      </c>
      <c r="E10" s="2" t="s">
        <v>66</v>
      </c>
      <c r="F10" s="3" t="s">
        <v>16</v>
      </c>
      <c r="G10" s="2" t="s">
        <v>29</v>
      </c>
      <c r="H10" s="2" t="n">
        <v>8</v>
      </c>
      <c r="I10" s="3" t="s">
        <v>67</v>
      </c>
      <c r="J10" s="3" t="s">
        <v>68</v>
      </c>
      <c r="K10" s="3" t="s">
        <v>69</v>
      </c>
    </row>
    <row r="11" customFormat="false" ht="46.25" hidden="false" customHeight="false" outlineLevel="0" collapsed="false">
      <c r="A11" s="2" t="s">
        <v>70</v>
      </c>
      <c r="B11" s="3" t="s">
        <v>71</v>
      </c>
      <c r="C11" s="2" t="s">
        <v>13</v>
      </c>
      <c r="D11" s="7" t="s">
        <v>65</v>
      </c>
      <c r="E11" s="2" t="s">
        <v>66</v>
      </c>
      <c r="F11" s="3" t="s">
        <v>16</v>
      </c>
      <c r="G11" s="2" t="s">
        <v>29</v>
      </c>
      <c r="H11" s="2" t="n">
        <v>10</v>
      </c>
      <c r="I11" s="3" t="s">
        <v>72</v>
      </c>
      <c r="J11" s="3" t="s">
        <v>73</v>
      </c>
      <c r="K11" s="3" t="s">
        <v>74</v>
      </c>
    </row>
    <row r="12" customFormat="false" ht="35.05" hidden="false" customHeight="false" outlineLevel="0" collapsed="false">
      <c r="A12" s="2" t="s">
        <v>75</v>
      </c>
      <c r="B12" s="3" t="s">
        <v>76</v>
      </c>
      <c r="C12" s="2" t="s">
        <v>13</v>
      </c>
      <c r="D12" s="7" t="s">
        <v>65</v>
      </c>
      <c r="E12" s="2" t="s">
        <v>66</v>
      </c>
      <c r="F12" s="3" t="s">
        <v>49</v>
      </c>
      <c r="G12" s="2" t="s">
        <v>29</v>
      </c>
      <c r="H12" s="2" t="n">
        <v>12</v>
      </c>
      <c r="I12" s="3" t="s">
        <v>77</v>
      </c>
      <c r="J12" s="3" t="s">
        <v>78</v>
      </c>
      <c r="K12" s="3" t="s">
        <v>79</v>
      </c>
    </row>
    <row r="13" customFormat="false" ht="35.05" hidden="false" customHeight="false" outlineLevel="0" collapsed="false">
      <c r="A13" s="2" t="s">
        <v>80</v>
      </c>
      <c r="B13" s="3" t="s">
        <v>81</v>
      </c>
      <c r="C13" s="2" t="s">
        <v>13</v>
      </c>
      <c r="D13" s="7" t="s">
        <v>65</v>
      </c>
      <c r="E13" s="2" t="s">
        <v>66</v>
      </c>
      <c r="F13" s="3" t="s">
        <v>49</v>
      </c>
      <c r="G13" s="2" t="s">
        <v>42</v>
      </c>
      <c r="H13" s="2" t="n">
        <v>15</v>
      </c>
      <c r="I13" s="3" t="s">
        <v>82</v>
      </c>
      <c r="J13" s="3" t="s">
        <v>83</v>
      </c>
      <c r="K13" s="3" t="s">
        <v>84</v>
      </c>
    </row>
    <row r="14" customFormat="false" ht="46.25" hidden="false" customHeight="false" outlineLevel="0" collapsed="false">
      <c r="A14" s="2" t="s">
        <v>85</v>
      </c>
      <c r="B14" s="3" t="s">
        <v>86</v>
      </c>
      <c r="C14" s="2" t="s">
        <v>87</v>
      </c>
      <c r="D14" s="8" t="s">
        <v>88</v>
      </c>
      <c r="E14" s="2" t="s">
        <v>15</v>
      </c>
      <c r="F14" s="3" t="s">
        <v>89</v>
      </c>
      <c r="G14" s="2" t="s">
        <v>42</v>
      </c>
      <c r="H14" s="2" t="n">
        <v>200</v>
      </c>
      <c r="I14" s="3" t="s">
        <v>90</v>
      </c>
      <c r="J14" s="3" t="s">
        <v>91</v>
      </c>
      <c r="K14" s="3" t="s">
        <v>92</v>
      </c>
    </row>
    <row r="15" customFormat="false" ht="57.45" hidden="false" customHeight="false" outlineLevel="0" collapsed="false">
      <c r="A15" s="2" t="s">
        <v>93</v>
      </c>
      <c r="B15" s="3" t="s">
        <v>94</v>
      </c>
      <c r="C15" s="2" t="s">
        <v>87</v>
      </c>
      <c r="D15" s="8" t="s">
        <v>88</v>
      </c>
      <c r="E15" s="2" t="s">
        <v>15</v>
      </c>
      <c r="F15" s="3" t="s">
        <v>89</v>
      </c>
      <c r="G15" s="2" t="s">
        <v>17</v>
      </c>
      <c r="H15" s="2" t="n">
        <v>180</v>
      </c>
      <c r="I15" s="3" t="s">
        <v>95</v>
      </c>
      <c r="J15" s="3" t="s">
        <v>96</v>
      </c>
      <c r="K15" s="3" t="s">
        <v>97</v>
      </c>
    </row>
    <row r="16" customFormat="false" ht="35.05" hidden="false" customHeight="false" outlineLevel="0" collapsed="false">
      <c r="A16" s="2" t="s">
        <v>98</v>
      </c>
      <c r="B16" s="3" t="s">
        <v>99</v>
      </c>
      <c r="C16" s="2" t="s">
        <v>13</v>
      </c>
      <c r="D16" s="7" t="s">
        <v>65</v>
      </c>
      <c r="E16" s="2" t="s">
        <v>66</v>
      </c>
      <c r="F16" s="3" t="s">
        <v>49</v>
      </c>
      <c r="G16" s="2" t="s">
        <v>29</v>
      </c>
      <c r="H16" s="2" t="n">
        <v>6</v>
      </c>
      <c r="I16" s="3" t="s">
        <v>100</v>
      </c>
      <c r="J16" s="3" t="s">
        <v>101</v>
      </c>
      <c r="K16" s="3" t="s">
        <v>102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7</v>
      </c>
    </row>
    <row r="2" customFormat="false" ht="15" hidden="false" customHeight="false" outlineLevel="0" collapsed="false">
      <c r="A2" s="2" t="s">
        <v>85</v>
      </c>
      <c r="B2" s="2" t="s">
        <v>86</v>
      </c>
      <c r="C2" s="2" t="n">
        <v>30</v>
      </c>
      <c r="D2" s="2" t="n">
        <v>3</v>
      </c>
      <c r="E2" s="2" t="n">
        <v>100</v>
      </c>
      <c r="F2" s="2" t="n">
        <v>2</v>
      </c>
      <c r="G2" s="9" t="n">
        <f aca="false">ROUND((C2*D2*(E2/100))/F2,0)</f>
        <v>45</v>
      </c>
    </row>
    <row r="3" customFormat="false" ht="15" hidden="false" customHeight="false" outlineLevel="0" collapsed="false">
      <c r="A3" s="2" t="s">
        <v>93</v>
      </c>
      <c r="B3" s="2" t="s">
        <v>94</v>
      </c>
      <c r="C3" s="2" t="n">
        <v>30</v>
      </c>
      <c r="D3" s="2" t="n">
        <v>3</v>
      </c>
      <c r="E3" s="2" t="n">
        <v>100</v>
      </c>
      <c r="F3" s="2" t="n">
        <v>1</v>
      </c>
      <c r="G3" s="9" t="n">
        <f aca="false">ROUND((C3*D3*(E3/100))/F3,0)</f>
        <v>90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n">
        <v>25</v>
      </c>
      <c r="D4" s="2" t="n">
        <v>2</v>
      </c>
      <c r="E4" s="2" t="n">
        <v>80</v>
      </c>
      <c r="F4" s="2" t="n">
        <v>0.5</v>
      </c>
      <c r="G4" s="9" t="n">
        <f aca="false">ROUND((C4*D4*(E4/100))/F4,0)</f>
        <v>80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n">
        <v>25</v>
      </c>
      <c r="D5" s="2" t="n">
        <v>2</v>
      </c>
      <c r="E5" s="2" t="n">
        <v>80</v>
      </c>
      <c r="F5" s="2" t="n">
        <v>0.37</v>
      </c>
      <c r="G5" s="9" t="n">
        <f aca="false">ROUND((C5*D5*(E5/100))/F5,0)</f>
        <v>108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n">
        <v>30</v>
      </c>
      <c r="D6" s="2" t="n">
        <v>1.5</v>
      </c>
      <c r="E6" s="2" t="n">
        <v>80</v>
      </c>
      <c r="F6" s="2" t="n">
        <v>0.6</v>
      </c>
      <c r="G6" s="9" t="n">
        <f aca="false">ROUND((C6*D6*(E6/100))/F6,0)</f>
        <v>60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n">
        <v>20</v>
      </c>
      <c r="D7" s="2" t="n">
        <v>3</v>
      </c>
      <c r="E7" s="2" t="n">
        <v>50</v>
      </c>
      <c r="F7" s="2" t="n">
        <v>4</v>
      </c>
      <c r="G7" s="9" t="n">
        <f aca="false">ROUND((C7*D7*(E7/100))/F7,0)</f>
        <v>8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n">
        <v>20</v>
      </c>
      <c r="D8" s="2" t="n">
        <v>2</v>
      </c>
      <c r="E8" s="2" t="n">
        <v>50</v>
      </c>
      <c r="F8" s="2" t="n">
        <v>2</v>
      </c>
      <c r="G8" s="9" t="n">
        <f aca="false">ROUND((C8*D8*(E8/100))/F8,0)</f>
        <v>10</v>
      </c>
    </row>
    <row r="9" customFormat="false" ht="15" hidden="false" customHeight="false" outlineLevel="0" collapsed="false">
      <c r="A9" s="2" t="s">
        <v>53</v>
      </c>
      <c r="B9" s="2" t="s">
        <v>54</v>
      </c>
      <c r="C9" s="2" t="n">
        <v>20</v>
      </c>
      <c r="D9" s="2" t="n">
        <v>1</v>
      </c>
      <c r="E9" s="2" t="n">
        <v>80</v>
      </c>
      <c r="F9" s="2" t="n">
        <v>0.37</v>
      </c>
      <c r="G9" s="9" t="n">
        <f aca="false">ROUND((C9*D9*(E9/100))/F9,0)</f>
        <v>43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n">
        <v>15</v>
      </c>
      <c r="D10" s="2" t="n">
        <v>1</v>
      </c>
      <c r="E10" s="2" t="n">
        <v>80</v>
      </c>
      <c r="F10" s="2" t="n">
        <v>0.37</v>
      </c>
      <c r="G10" s="9" t="n">
        <f aca="false">ROUND((C10*D10*(E10/100))/F10,0)</f>
        <v>32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n">
        <v>15</v>
      </c>
      <c r="D11" s="2" t="n">
        <v>1</v>
      </c>
      <c r="E11" s="2" t="n">
        <v>50</v>
      </c>
      <c r="F11" s="2" t="n">
        <v>0.6</v>
      </c>
      <c r="G11" s="9" t="n">
        <f aca="false">ROUND((C11*D11*(E11/100))/F11,0)</f>
        <v>13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2" t="n">
        <v>10</v>
      </c>
      <c r="D12" s="2" t="n">
        <v>1.5</v>
      </c>
      <c r="E12" s="2" t="n">
        <v>50</v>
      </c>
      <c r="F12" s="2" t="n">
        <v>2</v>
      </c>
      <c r="G12" s="9" t="n">
        <f aca="false">ROUND((C12*D12*(E12/100))/F12,0)</f>
        <v>4</v>
      </c>
    </row>
    <row r="13" customFormat="false" ht="15" hidden="false" customHeight="false" outlineLevel="0" collapsed="false">
      <c r="A13" s="2" t="s">
        <v>75</v>
      </c>
      <c r="B13" s="2" t="s">
        <v>76</v>
      </c>
      <c r="C13" s="2" t="n">
        <v>15</v>
      </c>
      <c r="D13" s="2" t="n">
        <v>1</v>
      </c>
      <c r="E13" s="2" t="n">
        <v>50</v>
      </c>
      <c r="F13" s="2" t="n">
        <v>6</v>
      </c>
      <c r="G13" s="9" t="n">
        <f aca="false">ROUND((C13*D13*(E13/100))/F13,0)</f>
        <v>1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n">
        <v>5</v>
      </c>
      <c r="D14" s="2" t="n">
        <v>2</v>
      </c>
      <c r="E14" s="2" t="n">
        <v>50</v>
      </c>
      <c r="F14" s="2" t="n">
        <v>6</v>
      </c>
      <c r="G14" s="9" t="n">
        <f aca="false">ROUND((C14*D14*(E14/100))/F14,0)</f>
        <v>1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n">
        <v>10</v>
      </c>
      <c r="D15" s="2" t="n">
        <v>1</v>
      </c>
      <c r="E15" s="2" t="n">
        <v>30</v>
      </c>
      <c r="F15" s="2" t="n">
        <v>8</v>
      </c>
      <c r="G15" s="9" t="n">
        <f aca="false">ROUND((C15*D15*(E15/100))/F15,0)</f>
        <v>0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2" t="n">
        <v>10</v>
      </c>
      <c r="D16" s="2" t="n">
        <v>1</v>
      </c>
      <c r="E16" s="2" t="n">
        <v>30</v>
      </c>
      <c r="F16" s="2" t="n">
        <v>6</v>
      </c>
      <c r="G16" s="9" t="n">
        <f aca="false">ROUND((C16*D16*(E16/100))/F16,0)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107</v>
      </c>
      <c r="B1" s="1" t="s">
        <v>1</v>
      </c>
      <c r="C1" s="1" t="s">
        <v>108</v>
      </c>
      <c r="D1" s="1" t="s">
        <v>3</v>
      </c>
    </row>
    <row r="2" customFormat="false" ht="15" hidden="false" customHeight="false" outlineLevel="0" collapsed="false">
      <c r="A2" s="2" t="s">
        <v>109</v>
      </c>
      <c r="B2" s="2" t="s">
        <v>110</v>
      </c>
      <c r="C2" s="2" t="s">
        <v>111</v>
      </c>
      <c r="D2" s="2" t="s">
        <v>112</v>
      </c>
    </row>
    <row r="3" customFormat="false" ht="23.85" hidden="false" customHeight="false" outlineLevel="0" collapsed="false">
      <c r="A3" s="2" t="s">
        <v>113</v>
      </c>
      <c r="B3" s="2" t="s">
        <v>114</v>
      </c>
      <c r="C3" s="2" t="s">
        <v>111</v>
      </c>
      <c r="D3" s="2" t="s">
        <v>112</v>
      </c>
    </row>
    <row r="4" customFormat="false" ht="23.85" hidden="false" customHeight="false" outlineLevel="0" collapsed="false">
      <c r="A4" s="2" t="s">
        <v>115</v>
      </c>
      <c r="B4" s="2" t="s">
        <v>116</v>
      </c>
      <c r="C4" s="2" t="s">
        <v>111</v>
      </c>
      <c r="D4" s="2" t="s">
        <v>112</v>
      </c>
    </row>
    <row r="5" customFormat="false" ht="15" hidden="false" customHeight="false" outlineLevel="0" collapsed="false">
      <c r="A5" s="2" t="s">
        <v>117</v>
      </c>
      <c r="B5" s="2" t="s">
        <v>118</v>
      </c>
      <c r="C5" s="2" t="s">
        <v>111</v>
      </c>
      <c r="D5" s="2" t="s">
        <v>112</v>
      </c>
    </row>
    <row r="6" customFormat="false" ht="15" hidden="false" customHeight="false" outlineLevel="0" collapsed="false">
      <c r="A6" s="2" t="s">
        <v>119</v>
      </c>
      <c r="B6" s="2" t="s">
        <v>120</v>
      </c>
      <c r="C6" s="2" t="s">
        <v>111</v>
      </c>
      <c r="D6" s="2" t="s">
        <v>112</v>
      </c>
    </row>
    <row r="7" customFormat="false" ht="15" hidden="false" customHeight="false" outlineLevel="0" collapsed="false">
      <c r="A7" s="2" t="s">
        <v>121</v>
      </c>
      <c r="B7" s="2" t="s">
        <v>122</v>
      </c>
      <c r="C7" s="2" t="s">
        <v>111</v>
      </c>
      <c r="D7" s="2" t="s">
        <v>112</v>
      </c>
    </row>
    <row r="8" customFormat="false" ht="15" hidden="false" customHeight="false" outlineLevel="0" collapsed="false">
      <c r="A8" s="2" t="s">
        <v>123</v>
      </c>
      <c r="B8" s="2" t="s">
        <v>124</v>
      </c>
      <c r="C8" s="2" t="s">
        <v>111</v>
      </c>
      <c r="D8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2026-02-18T10:45:38Z</dcterms:created>
  <dc:creator>openpyxl</dc:creator>
  <dc:description/>
  <dc:language>en-US</dc:language>
  <cp:lastModifiedBy/>
  <dcterms:modified xsi:type="dcterms:W3CDTF">2026-02-18T10:45:38Z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